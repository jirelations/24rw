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4582AA66-C4E3-4349-B5C2-3F3639E31CE1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P16" i="1" s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P4" i="1"/>
  <c r="P8" i="1"/>
  <c r="P9" i="1"/>
  <c r="P10" i="1"/>
  <c r="P12" i="1"/>
  <c r="O15" i="1"/>
  <c r="P15" i="1" s="1"/>
  <c r="O14" i="1"/>
  <c r="P14" i="1" s="1"/>
  <c r="O13" i="1"/>
  <c r="P13" i="1" s="1"/>
  <c r="O12" i="1"/>
  <c r="O11" i="1"/>
  <c r="P11" i="1" s="1"/>
  <c r="O10" i="1"/>
  <c r="O9" i="1"/>
  <c r="O8" i="1"/>
  <c r="O7" i="1"/>
  <c r="P7" i="1" s="1"/>
  <c r="O6" i="1"/>
  <c r="P6" i="1" s="1"/>
  <c r="O5" i="1"/>
  <c r="P5" i="1" s="1"/>
  <c r="O4" i="1"/>
  <c r="O3" i="1"/>
  <c r="P3" i="1" s="1"/>
  <c r="O2" i="1"/>
  <c r="P2" i="1" s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<sst xmlns="http://schemas.openxmlformats.org/spreadsheetml/2006/main" count="90" uniqueCount="79">
  <si>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</si>
  <si>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</si>
  <si>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</si>
  <si>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</si>
  <si>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</si>
  <si>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</si>
  <si>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</si>
  <si>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</si>
  <si>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</si>
  <si>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</si>
  <si>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</si>
  <si>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</si>
  <si>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</si>
  <si>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</si>
  <si>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</si>
  <si>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</si>
  <si>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</si>
  <si>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</si>
  <si>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</si>
  <si>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</si>
  <si>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</si>
  <si>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</si>
  <si>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</si>
  <si>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</si>
  <si>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</si>
  <si>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</si>
  <si>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</si>
  <si>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</si>
  <si>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</si>
  <si>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</si>
  <si>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</si>
  <si>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</si>
  <si>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</si>
  <si>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</si>
  <si>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</si>
  <si>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</si>
  <si>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</si>
  <si>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</si>
  <si>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</si>
  <si>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</si>
  <si>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</si>
  <si>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</si>
  <si>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</si>
  <si>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</si>
  <si>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</si>
  <si>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</si>
  <si>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</si>
  <si>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</si>
  <si>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</si>
  <si>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</si>
  <si>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</si>
  <si>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</si>
  <si>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</si>
  <si>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</si>
  <si>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</si>
  <si>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</si>
  <si>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</si>
  <si>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</si>
  <si>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</si>
  <si>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</si>
  <si>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</si>
  <si>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</si>
  <si>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</si>
  <si>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</si>
  <si>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</si>
  <si>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</si>
  <si>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</si>
  <si>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</si>
  <si>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</si>
  <si>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bernerSynkretismus2001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</si>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</sst>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5" fillId="0" borderId="1" xfId="0" applyNumberFormat="1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P18"/>
  <sheetViews>
    <sheetView tabSelected="1" topLeftCell="I1" zoomScale="150" zoomScaleNormal="140" workbookViewId="0">
      <selection activeCell="N5" sqref="N5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4" width="77.83203125" customWidth="1"/>
    <col min="15" max="15" width="12.5" bestFit="1" customWidth="1"/>
    <col min="16" max="16" width="12.5" customWidth="1"/>
  </cols>
  <sheetData>
    <row r="1" spans="1:16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</row>
    <row r="2" spans="1:16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O2" t="str">
        <f t="shared" ref="O2:O15" si="2">"["&amp;B2&amp;"]"</f>
        <v>[1]</v>
      </c>
      <c r="P2" t="str">
        <f>"---
layout: post
" &amp; B$1 &amp; ": " &amp; B2 &amp; "
" &amp; O$1 &amp; ": " &amp; O2 &amp; "
level: overview
---"</f>
        <v>---
layout: post
session: 1
tags: [1]
level: overview
---</v>
      </c>
    </row>
    <row r="3" spans="1:16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3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4">SUBSTITUTE(SUBSTITUTE(SUBSTITUTE(SUBSTITUTE(B3 &amp; ". " &amp; F3,".",""),"&amp;","")," ","-"),"--","-")</f>
        <v>2-Definitionen</v>
      </c>
      <c r="M3" s="10" t="s">
        <v>63</v>
      </c>
      <c r="N3" t="s">
        <v>77</v>
      </c>
      <c r="O3" t="str">
        <f t="shared" si="2"/>
        <v>[2]</v>
      </c>
      <c r="P3" t="str">
        <f t="shared" ref="P3:P15" si="5">"---
layout: post
" &amp; B$1 &amp; ": " &amp; B3 &amp; "
" &amp; O$1 &amp; ": " &amp; O3 &amp; "
level: overview
---"</f>
        <v>---
layout: post
session: 2
tags: [2]
level: overview
---</v>
      </c>
    </row>
    <row r="4" spans="1:16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3"/>
        <v>3. Religion als Gegenstand: Was gilt als religiöses Ritual?</v>
      </c>
      <c r="J4" s="3">
        <f t="shared" si="1"/>
        <v>3</v>
      </c>
      <c r="K4" t="s">
        <v>52</v>
      </c>
      <c r="L4" t="str">
        <f t="shared" si="4"/>
        <v>3-Ritual</v>
      </c>
      <c r="M4" s="11" t="s">
        <v>66</v>
      </c>
      <c r="N4" t="s">
        <v>78</v>
      </c>
      <c r="O4" t="str">
        <f t="shared" si="2"/>
        <v>[3]</v>
      </c>
      <c r="P4" t="str">
        <f t="shared" si="5"/>
        <v>---
layout: post
session: 3
tags: [3]
level: overview
---</v>
      </c>
    </row>
    <row r="5" spans="1:16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3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4"/>
        <v>4-Gruppen</v>
      </c>
      <c r="M5" s="9" t="s">
        <v>67</v>
      </c>
      <c r="O5" t="str">
        <f t="shared" si="2"/>
        <v>[4]</v>
      </c>
      <c r="P5" t="str">
        <f t="shared" si="5"/>
        <v>---
layout: post
session: 4
tags: [4]
level: overview
---</v>
      </c>
    </row>
    <row r="6" spans="1:16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3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4"/>
        <v>5-Gender</v>
      </c>
      <c r="M6" s="9" t="s">
        <v>68</v>
      </c>
      <c r="O6" t="str">
        <f t="shared" si="2"/>
        <v>[5]</v>
      </c>
      <c r="P6" t="str">
        <f t="shared" si="5"/>
        <v>---
layout: post
session: 5
tags: [5]
level: overview
---</v>
      </c>
    </row>
    <row r="7" spans="1:16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3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4"/>
        <v>6-Orthodoxie</v>
      </c>
      <c r="M7" s="9" t="s">
        <v>69</v>
      </c>
      <c r="O7" t="str">
        <f t="shared" si="2"/>
        <v>[6]</v>
      </c>
      <c r="P7" t="str">
        <f t="shared" si="5"/>
        <v>---
layout: post
session: 6
tags: [6]
level: overview
---</v>
      </c>
    </row>
    <row r="8" spans="1:16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26</v>
      </c>
      <c r="G8" t="s">
        <v>41</v>
      </c>
      <c r="I8" t="str">
        <f t="shared" si="3"/>
        <v>7. Materialität und Körper: Kursbesuch: Kunst</v>
      </c>
      <c r="J8" s="3">
        <f t="shared" si="1"/>
        <v>7</v>
      </c>
      <c r="K8" t="s">
        <v>56</v>
      </c>
      <c r="L8" t="str">
        <f t="shared" si="4"/>
        <v>7-Kunst</v>
      </c>
      <c r="M8" s="9"/>
      <c r="O8" t="str">
        <f t="shared" si="2"/>
        <v>[7]</v>
      </c>
      <c r="P8" t="str">
        <f t="shared" si="5"/>
        <v>---
layout: post
session: 7
tags: [7]
level: overview
---</v>
      </c>
    </row>
    <row r="9" spans="1:16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27</v>
      </c>
      <c r="G9" t="s">
        <v>42</v>
      </c>
      <c r="I9" t="str">
        <f t="shared" si="3"/>
        <v>8. Materialität und Körper: Wie werden heilige Schriften überliefert?</v>
      </c>
      <c r="J9" s="3">
        <f t="shared" si="1"/>
        <v>8</v>
      </c>
      <c r="K9" t="s">
        <v>57</v>
      </c>
      <c r="L9" t="str">
        <f t="shared" si="4"/>
        <v>8-Schriften</v>
      </c>
      <c r="M9" s="9" t="s">
        <v>70</v>
      </c>
      <c r="O9" t="str">
        <f t="shared" si="2"/>
        <v>[8]</v>
      </c>
      <c r="P9" t="str">
        <f t="shared" si="5"/>
        <v>---
layout: post
session: 8
tags: [8]
level: overview
---</v>
      </c>
    </row>
    <row r="10" spans="1:16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28</v>
      </c>
      <c r="G10" t="s">
        <v>43</v>
      </c>
      <c r="I10" t="str">
        <f t="shared" si="3"/>
        <v>9. Materialität und Körper: Welche Rolle spielen materielle Objekte in der Religion?</v>
      </c>
      <c r="J10" s="3">
        <f t="shared" si="1"/>
        <v>9</v>
      </c>
      <c r="K10" t="s">
        <v>65</v>
      </c>
      <c r="L10" t="str">
        <f t="shared" si="4"/>
        <v>9-Objekte</v>
      </c>
      <c r="M10" s="9" t="s">
        <v>71</v>
      </c>
      <c r="O10" t="str">
        <f t="shared" si="2"/>
        <v>[9]</v>
      </c>
      <c r="P10" t="str">
        <f t="shared" si="5"/>
        <v>---
layout: post
session: 9
tags: [9]
level: overview
---</v>
      </c>
    </row>
    <row r="11" spans="1:16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4" t="s">
        <v>29</v>
      </c>
      <c r="G11" t="s">
        <v>44</v>
      </c>
      <c r="I11" t="str">
        <f t="shared" si="3"/>
        <v>10. Materialität und Körper: Welche Rolle spielen heilige Orte in der Religion?</v>
      </c>
      <c r="J11" s="3">
        <f t="shared" si="1"/>
        <v>10</v>
      </c>
      <c r="K11" t="s">
        <v>58</v>
      </c>
      <c r="L11" t="str">
        <f t="shared" si="4"/>
        <v>10-Orte</v>
      </c>
      <c r="M11" s="9" t="s">
        <v>72</v>
      </c>
      <c r="O11" t="str">
        <f t="shared" si="2"/>
        <v>[10]</v>
      </c>
      <c r="P11" t="str">
        <f t="shared" si="5"/>
        <v>---
layout: post
session: 10
tags: [10]
level: overview
---</v>
      </c>
    </row>
    <row r="12" spans="1:16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3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4"/>
        <v>11-Körper</v>
      </c>
      <c r="M12" s="9" t="s">
        <v>73</v>
      </c>
      <c r="O12" t="str">
        <f t="shared" si="2"/>
        <v>[11]</v>
      </c>
      <c r="P12" t="str">
        <f t="shared" si="5"/>
        <v>---
layout: post
session: 11
tags: [11]
level: overview
---</v>
      </c>
    </row>
    <row r="13" spans="1:16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3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4"/>
        <v>12-Digitalisierung</v>
      </c>
      <c r="M13" s="9" t="s">
        <v>74</v>
      </c>
      <c r="O13" t="str">
        <f t="shared" si="2"/>
        <v>[12]</v>
      </c>
      <c r="P13" t="str">
        <f t="shared" si="5"/>
        <v>---
layout: post
session: 12
tags: [12]
level: overview
---</v>
      </c>
    </row>
    <row r="14" spans="1:16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3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4"/>
        <v>13-Extremismus</v>
      </c>
      <c r="M14" s="9" t="s">
        <v>75</v>
      </c>
      <c r="O14" t="str">
        <f t="shared" si="2"/>
        <v>[13]</v>
      </c>
      <c r="P14" t="str">
        <f t="shared" si="5"/>
        <v>---
layout: post
session: 13
tags: [13]
level: overview
---</v>
      </c>
    </row>
    <row r="15" spans="1:16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3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4"/>
        <v>14-Interreligiös</v>
      </c>
      <c r="M15" s="9" t="s">
        <v>76</v>
      </c>
      <c r="O15" t="str">
        <f t="shared" si="2"/>
        <v>[14]</v>
      </c>
      <c r="P15" t="str">
        <f t="shared" si="5"/>
        <v>---
layout: post
session: 14
tags: [14]
level: overview
---</v>
      </c>
    </row>
    <row r="16" spans="1:16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3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4"/>
        <v>15-Abschluss</v>
      </c>
      <c r="O16" t="str">
        <f t="shared" ref="O16" si="6">"["&amp;B16&amp;"]"</f>
        <v>[15]</v>
      </c>
      <c r="P16" t="str">
        <f t="shared" ref="P16" si="7">"---
layout: post
" &amp; B$1 &amp; ": " &amp; B16 &amp; "
" &amp; O$1 &amp; ": " &amp; O16 &amp; "
level: overview
---"</f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2024-10-28T09:22:56Z</dcterms:modified>
</cp:coreProperties>
</file>