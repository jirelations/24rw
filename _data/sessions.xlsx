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27"/>
  <workbookPr/>
  <mc:AlternateContent xmlns:mc="http://schemas.openxmlformats.org/markup-compatibility/2006">
    <mc:Choice Requires="x15">
      <x15ac:absPath xmlns:x15ac="http://schemas.microsoft.com/office/spreadsheetml/2010/11/ac" url="/Users/nathan/Github/jirelations/24rw/_data/"/>
    </mc:Choice>
  </mc:AlternateContent>
  <xr:revisionPtr revIDLastSave="0" documentId="13_ncr:1_{0F659FDD-1C3E-634E-8C54-432E7BD9A994}" xr6:coauthVersionLast="47" xr6:coauthVersionMax="47" xr10:uidLastSave="{00000000-0000-0000-0000-000000000000}"/>
  <bookViews>
    <workbookView xWindow="0" yWindow="500" windowWidth="51200" windowHeight="28300" xr2:uid="{00000000-000D-0000-FFFF-FFFF00000000}"/>
  </bookViews>
  <sheets>
    <sheet name="sess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6" i="1" l="1"/>
  <c r="P16" i="1" s="1"/>
  <c r="L16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I16" i="1"/>
  <c r="D16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2" i="1"/>
  <c r="P4" i="1"/>
  <c r="P8" i="1"/>
  <c r="P9" i="1"/>
  <c r="P10" i="1"/>
  <c r="P12" i="1"/>
  <c r="O15" i="1"/>
  <c r="P15" i="1" s="1"/>
  <c r="O14" i="1"/>
  <c r="P14" i="1" s="1"/>
  <c r="O13" i="1"/>
  <c r="P13" i="1" s="1"/>
  <c r="O12" i="1"/>
  <c r="O11" i="1"/>
  <c r="P11" i="1" s="1"/>
  <c r="O10" i="1"/>
  <c r="O9" i="1"/>
  <c r="O8" i="1"/>
  <c r="O7" i="1"/>
  <c r="P7" i="1" s="1"/>
  <c r="O6" i="1"/>
  <c r="P6" i="1" s="1"/>
  <c r="O5" i="1"/>
  <c r="P5" i="1" s="1"/>
  <c r="O4" i="1"/>
  <c r="O3" i="1"/>
  <c r="P3" i="1" s="1"/>
  <c r="O2" i="1"/>
  <c r="P2" i="1" s="1"/>
  <c r="D12" i="1"/>
  <c r="D10" i="1"/>
  <c r="D4" i="1"/>
  <c r="D11" i="1"/>
  <c r="D3" i="1"/>
  <c r="D9" i="1"/>
  <c r="D8" i="1"/>
  <c r="D15" i="1"/>
  <c r="D7" i="1"/>
  <c r="D14" i="1"/>
  <c r="D6" i="1"/>
  <c r="D13" i="1"/>
  <c r="D5" i="1"/>
  <c r="D2" i="1"/>
</calcChain>
</file>

<file path=xl/sharedStrings.xml><?xml version="1.0" encoding="utf-8"?>
<sst xmlns="http://schemas.openxmlformats.org/spreadsheetml/2006/main" count="92" uniqueCount="81">
  <si>
    <t>blank</t>
  </si>
  <si>
    <t>session</t>
  </si>
  <si>
    <t>date</t>
  </si>
  <si>
    <t>filename</t>
  </si>
  <si>
    <t>unit</t>
  </si>
  <si>
    <t>topic</t>
  </si>
  <si>
    <t>title</t>
  </si>
  <si>
    <t>pad-slug</t>
  </si>
  <si>
    <t>image</t>
  </si>
  <si>
    <t>zotero-tag</t>
  </si>
  <si>
    <t>zotero-readings</t>
  </si>
  <si>
    <t>objective</t>
  </si>
  <si>
    <t>tags</t>
  </si>
  <si>
    <t>contents</t>
  </si>
  <si>
    <t>concepts</t>
  </si>
  <si>
    <t>long-topic</t>
  </si>
  <si>
    <t>Religion als Gegenstand</t>
  </si>
  <si>
    <t>Gruppen und Autorität</t>
  </si>
  <si>
    <t>Materialität und Körper</t>
  </si>
  <si>
    <t>Religionswissenschaft für heute</t>
  </si>
  <si>
    <t>Vorstellung</t>
  </si>
  <si>
    <t>Definitionen</t>
  </si>
  <si>
    <t>Ritual</t>
  </si>
  <si>
    <t>Gruppen</t>
  </si>
  <si>
    <t>Gender</t>
  </si>
  <si>
    <t>Orthodoxie</t>
  </si>
  <si>
    <t>Kunst</t>
  </si>
  <si>
    <t>Schriften</t>
  </si>
  <si>
    <t>Objekte</t>
  </si>
  <si>
    <t>Orte</t>
  </si>
  <si>
    <t>Körper</t>
  </si>
  <si>
    <t>Digitalisierung</t>
  </si>
  <si>
    <t>Extremismus</t>
  </si>
  <si>
    <t>Interreligiös</t>
  </si>
  <si>
    <t>Abschluss</t>
  </si>
  <si>
    <t>Was machen wir hier?</t>
  </si>
  <si>
    <t>Was ist Religion?</t>
  </si>
  <si>
    <t>Was gilt als religiöses Ritual?</t>
  </si>
  <si>
    <t>Wie bilden sich religiöse Gruppen und Autoritäten?</t>
  </si>
  <si>
    <t>Welche Rolle spielt Gender in der Religion?</t>
  </si>
  <si>
    <t>Wer oder was bestimmt die Orthodoxie?</t>
  </si>
  <si>
    <t>Kursbesuch: Kunst</t>
  </si>
  <si>
    <t>Wie werden heilige Schriften überliefert?</t>
  </si>
  <si>
    <t>Welche Rolle spielen materielle Objekte in der Religion?</t>
  </si>
  <si>
    <t>Welche Rolle spielen heilige Orte in der Religion?</t>
  </si>
  <si>
    <t>Welche Wirkung hat die religiöse Praxis auf den Körper?</t>
  </si>
  <si>
    <t>Wie wird Religion digital untersucht?</t>
  </si>
  <si>
    <t>Wie sollte religiöser Extremismus verstanden werden?</t>
  </si>
  <si>
    <t>Sollten Religionswissenschaftler/innen am interreligiösen Dialog mitwirken?</t>
  </si>
  <si>
    <t>Wie gehe ich mit dem erworbenen Wissen um?</t>
  </si>
  <si>
    <t>candle.jpg</t>
  </si>
  <si>
    <t>magnifying-glass.jpg</t>
  </si>
  <si>
    <t>02_Fussball.jpg</t>
  </si>
  <si>
    <t>kaaba.jpg</t>
  </si>
  <si>
    <t>04.MarabouWomen.jpg</t>
  </si>
  <si>
    <t>yezidi.jpg</t>
  </si>
  <si>
    <t>06_gegenseitiges.anerkennen.shahid.alam.png.webp</t>
  </si>
  <si>
    <t>synagogue-scroll.jpg</t>
  </si>
  <si>
    <t>madaba-map.jpg</t>
  </si>
  <si>
    <t>digital.jpg</t>
  </si>
  <si>
    <t>12_iranischeSchiiten.jpeg</t>
  </si>
  <si>
    <t>interreligious-conversation.png</t>
  </si>
  <si>
    <t>girl-bridge.jpg</t>
  </si>
  <si>
    <t>stausbergI1ReligionBegriff2012</t>
  </si>
  <si>
    <t>dhanvantari.jpg</t>
  </si>
  <si>
    <t>mosque.jpg</t>
  </si>
  <si>
    <t>brombergerFussballAlsWeltsicht2003</t>
  </si>
  <si>
    <t>rengerIII7MeisterJuengerUnd2012</t>
  </si>
  <si>
    <t>gemmekeMaraboutWomenDakar2009</t>
  </si>
  <si>
    <t>pelikanWrittenTorahTalmud2006</t>
  </si>
  <si>
    <t>prohlMaterialeReligion2012</t>
  </si>
  <si>
    <t>walker11Pilgrimage2018</t>
  </si>
  <si>
    <t>csordasIntroduction1994</t>
  </si>
  <si>
    <t>campbellContextualizingCurrentDigital2020</t>
  </si>
  <si>
    <t>riesebrodtFundamentalismusAlsPatriarchalische1990</t>
  </si>
  <si>
    <t>schmiedelInterreligioeserDialogAls2008</t>
  </si>
  <si>
    <t>Verschiedene Definitionen von Religion unterscheiden können, was sie umfassen und wofür sie nützlich sein können.</t>
  </si>
  <si>
    <t>Rituale auf drei Ebenen (Formen, Funktionen, Bedeutungen) anhand von Beispielen schildern können.</t>
  </si>
  <si>
    <t>Historische und gegenwärtige Beispiele der Gruppenbildung anhand eines differenzierten Konzepts von "Meister/Jüngerschaft" erläutern können.</t>
  </si>
  <si>
    <t>Ebenen der Genderforschung erläutern können, auf die die Religionswissenschaft grundlegend eingehen kann.</t>
  </si>
  <si>
    <t>schlieterReligionReligionswissenschaftUnd2012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</si>
</sst>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-F800]dddd\,\ mmmm\ dd\,\ yyyy"/>
    <numFmt numFmtId="166" formatCode="dd\.mm"/>
  </numFmts>
  <fonts count="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Trebuchet MS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5" fillId="0" borderId="1" xfId="0" applyFont="1" applyBorder="1" applyAlignment="1">
      <alignment horizontal="left"/>
    </xf>
    <xf numFmtId="3" fontId="5" fillId="0" borderId="1" xfId="0" applyNumberFormat="1" applyFont="1" applyBorder="1" applyAlignment="1">
      <alignment horizontal="left"/>
    </xf>
    <xf numFmtId="3" fontId="6" fillId="0" borderId="1" xfId="0" applyNumberFormat="1" applyFont="1" applyBorder="1" applyAlignment="1">
      <alignment horizontal="right"/>
    </xf>
    <xf numFmtId="164" fontId="6" fillId="0" borderId="1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166" fontId="6" fillId="0" borderId="1" xfId="0" applyNumberFormat="1" applyFont="1" applyBorder="1" applyAlignment="1">
      <alignment horizontal="left"/>
    </xf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  <pageSetUpPr fitToPage="1"/>
  </sheetPr>
  <dimension ref="A1:P18"/>
  <sheetViews>
    <sheetView tabSelected="1" topLeftCell="J1" zoomScale="150" zoomScaleNormal="140" workbookViewId="0">
      <selection activeCell="N8" sqref="N8"/>
    </sheetView>
  </sheetViews>
  <sheetFormatPr baseColWidth="10" defaultColWidth="8.83203125" defaultRowHeight="15" x14ac:dyDescent="0.2"/>
  <cols>
    <col min="1" max="1" width="12.5" bestFit="1" customWidth="1"/>
    <col min="2" max="2" width="6.6640625" style="5" bestFit="1" customWidth="1"/>
    <col min="3" max="3" width="11.83203125" bestFit="1" customWidth="1"/>
    <col min="4" max="4" width="18.6640625" style="6" customWidth="1"/>
    <col min="5" max="5" width="26.83203125" customWidth="1"/>
    <col min="6" max="7" width="42.6640625" customWidth="1"/>
    <col min="8" max="8" width="61" customWidth="1"/>
    <col min="9" max="9" width="27.1640625" customWidth="1"/>
    <col min="10" max="10" width="13.1640625" style="5" bestFit="1" customWidth="1"/>
    <col min="11" max="11" width="12.5" bestFit="1" customWidth="1"/>
    <col min="12" max="12" width="31.83203125" bestFit="1" customWidth="1"/>
    <col min="13" max="13" width="16.6640625" bestFit="1" customWidth="1"/>
    <col min="14" max="14" width="77.83203125" customWidth="1"/>
    <col min="15" max="15" width="12.5" bestFit="1" customWidth="1"/>
    <col min="16" max="16" width="12.5" customWidth="1"/>
  </cols>
  <sheetData>
    <row r="1" spans="1:16" ht="19.5" customHeight="1" x14ac:dyDescent="0.2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15</v>
      </c>
      <c r="H1" s="1" t="s">
        <v>14</v>
      </c>
      <c r="I1" s="1" t="s">
        <v>6</v>
      </c>
      <c r="J1" s="2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</row>
    <row r="2" spans="1:16" ht="18" customHeight="1" x14ac:dyDescent="0.2">
      <c r="B2" s="3">
        <v>1</v>
      </c>
      <c r="C2" s="8">
        <v>45579</v>
      </c>
      <c r="D2" s="4" t="str">
        <f t="shared" ref="D2:D16" si="0">IF(LEN(C2),TEXT(C2, "YYYY-MM-DD") &amp; "-" &amp; B2 &amp; ".md",)</f>
        <v>2024-10-14-1.md</v>
      </c>
      <c r="E2" s="4" t="s">
        <v>16</v>
      </c>
      <c r="F2" s="4" t="s">
        <v>20</v>
      </c>
      <c r="G2" s="4" t="s">
        <v>35</v>
      </c>
      <c r="H2" s="7"/>
      <c r="I2" t="str">
        <f>B2 &amp; ". " &amp; E2 &amp; ": " &amp; G2</f>
        <v>1. Religion als Gegenstand: Was machen wir hier?</v>
      </c>
      <c r="J2" s="3">
        <f t="shared" ref="J2:J16" si="1">B2</f>
        <v>1</v>
      </c>
      <c r="K2" t="s">
        <v>50</v>
      </c>
      <c r="L2" t="str">
        <f>SUBSTITUTE(SUBSTITUTE(SUBSTITUTE(SUBSTITUTE(B2 &amp; ". " &amp; F2,".",""),"&amp;","")," ","-"),"--","-")</f>
        <v>1-Vorstellung</v>
      </c>
      <c r="O2" t="str">
        <f t="shared" ref="O2:O15" si="2">"["&amp;B2&amp;"]"</f>
        <v>[1]</v>
      </c>
      <c r="P2" t="str">
        <f>"---
layout: post
" &amp; B$1 &amp; ": " &amp; B2 &amp; "
" &amp; O$1 &amp; ": " &amp; O2 &amp; "
level: overview
---"</f>
        <v>---
layout: post
session: 1
tags: [1]
level: overview
---</v>
      </c>
    </row>
    <row r="3" spans="1:16" ht="18" customHeight="1" x14ac:dyDescent="0.2">
      <c r="B3" s="3">
        <v>2</v>
      </c>
      <c r="C3" s="8">
        <v>45586</v>
      </c>
      <c r="D3" s="4" t="str">
        <f t="shared" si="0"/>
        <v>2024-10-21-2.md</v>
      </c>
      <c r="E3" s="4" t="s">
        <v>16</v>
      </c>
      <c r="F3" s="4" t="s">
        <v>21</v>
      </c>
      <c r="G3" t="s">
        <v>36</v>
      </c>
      <c r="I3" t="str">
        <f t="shared" ref="I3:I16" si="3">B3 &amp; ". " &amp; E3 &amp; ": " &amp; G3</f>
        <v>2. Religion als Gegenstand: Was ist Religion?</v>
      </c>
      <c r="J3" s="3">
        <f t="shared" si="1"/>
        <v>2</v>
      </c>
      <c r="K3" t="s">
        <v>51</v>
      </c>
      <c r="L3" t="str">
        <f t="shared" ref="L3:L16" si="4">SUBSTITUTE(SUBSTITUTE(SUBSTITUTE(SUBSTITUTE(B3 &amp; ". " &amp; F3,".",""),"&amp;","")," ","-"),"--","-")</f>
        <v>2-Definitionen</v>
      </c>
      <c r="M3" s="10" t="s">
        <v>63</v>
      </c>
      <c r="N3" t="s">
        <v>76</v>
      </c>
      <c r="O3" t="str">
        <f t="shared" si="2"/>
        <v>[2]</v>
      </c>
      <c r="P3" t="str">
        <f t="shared" ref="P3:P15" si="5">"---
layout: post
" &amp; B$1 &amp; ": " &amp; B3 &amp; "
" &amp; O$1 &amp; ": " &amp; O3 &amp; "
level: overview
---"</f>
        <v>---
layout: post
session: 2
tags: [2]
level: overview
---</v>
      </c>
    </row>
    <row r="4" spans="1:16" ht="18" customHeight="1" x14ac:dyDescent="0.2">
      <c r="B4" s="3">
        <v>3</v>
      </c>
      <c r="C4" s="8">
        <v>45593</v>
      </c>
      <c r="D4" s="4" t="str">
        <f t="shared" si="0"/>
        <v>2024-10-28-3.md</v>
      </c>
      <c r="E4" s="4" t="s">
        <v>16</v>
      </c>
      <c r="F4" s="4" t="s">
        <v>22</v>
      </c>
      <c r="G4" t="s">
        <v>37</v>
      </c>
      <c r="I4" t="str">
        <f t="shared" si="3"/>
        <v>3. Religion als Gegenstand: Was gilt als religiöses Ritual?</v>
      </c>
      <c r="J4" s="3">
        <f t="shared" si="1"/>
        <v>3</v>
      </c>
      <c r="K4" t="s">
        <v>52</v>
      </c>
      <c r="L4" t="str">
        <f t="shared" si="4"/>
        <v>3-Ritual</v>
      </c>
      <c r="M4" s="11" t="s">
        <v>66</v>
      </c>
      <c r="N4" t="s">
        <v>77</v>
      </c>
      <c r="O4" t="str">
        <f t="shared" si="2"/>
        <v>[3]</v>
      </c>
      <c r="P4" t="str">
        <f t="shared" si="5"/>
        <v>---
layout: post
session: 3
tags: [3]
level: overview
---</v>
      </c>
    </row>
    <row r="5" spans="1:16" ht="18" customHeight="1" x14ac:dyDescent="0.2">
      <c r="B5" s="3">
        <v>4</v>
      </c>
      <c r="C5" s="8">
        <v>45600</v>
      </c>
      <c r="D5" s="4" t="str">
        <f t="shared" si="0"/>
        <v>2024-11-04-4.md</v>
      </c>
      <c r="E5" s="4" t="s">
        <v>17</v>
      </c>
      <c r="F5" s="4" t="s">
        <v>23</v>
      </c>
      <c r="G5" t="s">
        <v>38</v>
      </c>
      <c r="I5" t="str">
        <f t="shared" si="3"/>
        <v>4. Gruppen und Autorität: Wie bilden sich religiöse Gruppen und Autoritäten?</v>
      </c>
      <c r="J5" s="3">
        <f t="shared" si="1"/>
        <v>4</v>
      </c>
      <c r="K5" t="s">
        <v>53</v>
      </c>
      <c r="L5" t="str">
        <f t="shared" si="4"/>
        <v>4-Gruppen</v>
      </c>
      <c r="M5" s="9" t="s">
        <v>67</v>
      </c>
      <c r="N5" t="s">
        <v>78</v>
      </c>
      <c r="O5" t="str">
        <f t="shared" si="2"/>
        <v>[4]</v>
      </c>
      <c r="P5" t="str">
        <f t="shared" si="5"/>
        <v>---
layout: post
session: 4
tags: [4]
level: overview
---</v>
      </c>
    </row>
    <row r="6" spans="1:16" ht="18" customHeight="1" x14ac:dyDescent="0.2">
      <c r="B6" s="3">
        <v>5</v>
      </c>
      <c r="C6" s="8">
        <v>45607</v>
      </c>
      <c r="D6" s="4" t="str">
        <f t="shared" si="0"/>
        <v>2024-11-11-5.md</v>
      </c>
      <c r="E6" s="4" t="s">
        <v>17</v>
      </c>
      <c r="F6" s="4" t="s">
        <v>24</v>
      </c>
      <c r="G6" t="s">
        <v>39</v>
      </c>
      <c r="I6" t="str">
        <f t="shared" si="3"/>
        <v>5. Gruppen und Autorität: Welche Rolle spielt Gender in der Religion?</v>
      </c>
      <c r="J6" s="3">
        <f t="shared" si="1"/>
        <v>5</v>
      </c>
      <c r="K6" t="s">
        <v>54</v>
      </c>
      <c r="L6" t="str">
        <f t="shared" si="4"/>
        <v>5-Gender</v>
      </c>
      <c r="M6" s="9" t="s">
        <v>68</v>
      </c>
      <c r="N6" t="s">
        <v>79</v>
      </c>
      <c r="O6" t="str">
        <f t="shared" si="2"/>
        <v>[5]</v>
      </c>
      <c r="P6" t="str">
        <f t="shared" si="5"/>
        <v>---
layout: post
session: 5
tags: [5]
level: overview
---</v>
      </c>
    </row>
    <row r="7" spans="1:16" ht="18" customHeight="1" x14ac:dyDescent="0.2">
      <c r="B7" s="3">
        <v>6</v>
      </c>
      <c r="C7" s="8">
        <v>45614</v>
      </c>
      <c r="D7" s="4" t="str">
        <f t="shared" si="0"/>
        <v>2024-11-18-6.md</v>
      </c>
      <c r="E7" s="4" t="s">
        <v>17</v>
      </c>
      <c r="F7" s="4" t="s">
        <v>25</v>
      </c>
      <c r="G7" t="s">
        <v>40</v>
      </c>
      <c r="I7" t="str">
        <f t="shared" si="3"/>
        <v>6. Gruppen und Autorität: Wer oder was bestimmt die Orthodoxie?</v>
      </c>
      <c r="J7" s="3">
        <f t="shared" si="1"/>
        <v>6</v>
      </c>
      <c r="K7" t="s">
        <v>55</v>
      </c>
      <c r="L7" t="str">
        <f t="shared" si="4"/>
        <v>6-Orthodoxie</v>
      </c>
      <c r="M7" s="12" t="s">
        <v>80</v>
      </c>
      <c r="O7" t="str">
        <f t="shared" si="2"/>
        <v>[6]</v>
      </c>
      <c r="P7" t="str">
        <f t="shared" si="5"/>
        <v>---
layout: post
session: 6
tags: [6]
level: overview
---</v>
      </c>
    </row>
    <row r="8" spans="1:16" ht="18" customHeight="1" x14ac:dyDescent="0.2">
      <c r="B8" s="3">
        <v>7</v>
      </c>
      <c r="C8" s="8">
        <v>45621</v>
      </c>
      <c r="D8" s="4" t="str">
        <f t="shared" si="0"/>
        <v>2024-11-25-7.md</v>
      </c>
      <c r="E8" s="4" t="s">
        <v>18</v>
      </c>
      <c r="F8" s="4" t="s">
        <v>26</v>
      </c>
      <c r="G8" t="s">
        <v>41</v>
      </c>
      <c r="I8" t="str">
        <f t="shared" si="3"/>
        <v>7. Materialität und Körper: Kursbesuch: Kunst</v>
      </c>
      <c r="J8" s="3">
        <f t="shared" si="1"/>
        <v>7</v>
      </c>
      <c r="K8" t="s">
        <v>56</v>
      </c>
      <c r="L8" t="str">
        <f t="shared" si="4"/>
        <v>7-Kunst</v>
      </c>
      <c r="M8" s="9"/>
      <c r="O8" t="str">
        <f t="shared" si="2"/>
        <v>[7]</v>
      </c>
      <c r="P8" t="str">
        <f t="shared" si="5"/>
        <v>---
layout: post
session: 7
tags: [7]
level: overview
---</v>
      </c>
    </row>
    <row r="9" spans="1:16" ht="18" customHeight="1" x14ac:dyDescent="0.2">
      <c r="B9" s="3">
        <v>8</v>
      </c>
      <c r="C9" s="8">
        <v>45628</v>
      </c>
      <c r="D9" s="4" t="str">
        <f t="shared" si="0"/>
        <v>2024-12-02-8.md</v>
      </c>
      <c r="E9" s="4" t="s">
        <v>18</v>
      </c>
      <c r="F9" s="4" t="s">
        <v>27</v>
      </c>
      <c r="G9" t="s">
        <v>42</v>
      </c>
      <c r="I9" t="str">
        <f t="shared" si="3"/>
        <v>8. Materialität und Körper: Wie werden heilige Schriften überliefert?</v>
      </c>
      <c r="J9" s="3">
        <f t="shared" si="1"/>
        <v>8</v>
      </c>
      <c r="K9" t="s">
        <v>57</v>
      </c>
      <c r="L9" t="str">
        <f t="shared" si="4"/>
        <v>8-Schriften</v>
      </c>
      <c r="M9" s="9" t="s">
        <v>69</v>
      </c>
      <c r="O9" t="str">
        <f t="shared" si="2"/>
        <v>[8]</v>
      </c>
      <c r="P9" t="str">
        <f t="shared" si="5"/>
        <v>---
layout: post
session: 8
tags: [8]
level: overview
---</v>
      </c>
    </row>
    <row r="10" spans="1:16" ht="18" customHeight="1" x14ac:dyDescent="0.2">
      <c r="B10" s="3">
        <v>9</v>
      </c>
      <c r="C10" s="8">
        <v>45635</v>
      </c>
      <c r="D10" s="4" t="str">
        <f t="shared" si="0"/>
        <v>2024-12-09-9.md</v>
      </c>
      <c r="E10" s="4" t="s">
        <v>18</v>
      </c>
      <c r="F10" s="4" t="s">
        <v>28</v>
      </c>
      <c r="G10" t="s">
        <v>43</v>
      </c>
      <c r="I10" t="str">
        <f t="shared" si="3"/>
        <v>9. Materialität und Körper: Welche Rolle spielen materielle Objekte in der Religion?</v>
      </c>
      <c r="J10" s="3">
        <f t="shared" si="1"/>
        <v>9</v>
      </c>
      <c r="K10" t="s">
        <v>65</v>
      </c>
      <c r="L10" t="str">
        <f t="shared" si="4"/>
        <v>9-Objekte</v>
      </c>
      <c r="M10" s="9" t="s">
        <v>70</v>
      </c>
      <c r="O10" t="str">
        <f t="shared" si="2"/>
        <v>[9]</v>
      </c>
      <c r="P10" t="str">
        <f t="shared" si="5"/>
        <v>---
layout: post
session: 9
tags: [9]
level: overview
---</v>
      </c>
    </row>
    <row r="11" spans="1:16" ht="18" customHeight="1" x14ac:dyDescent="0.2">
      <c r="B11" s="3">
        <v>10</v>
      </c>
      <c r="C11" s="8">
        <v>45642</v>
      </c>
      <c r="D11" s="4" t="str">
        <f t="shared" si="0"/>
        <v>2024-12-16-10.md</v>
      </c>
      <c r="E11" s="4" t="s">
        <v>18</v>
      </c>
      <c r="F11" s="4" t="s">
        <v>29</v>
      </c>
      <c r="G11" t="s">
        <v>44</v>
      </c>
      <c r="I11" t="str">
        <f t="shared" si="3"/>
        <v>10. Materialität und Körper: Welche Rolle spielen heilige Orte in der Religion?</v>
      </c>
      <c r="J11" s="3">
        <f t="shared" si="1"/>
        <v>10</v>
      </c>
      <c r="K11" t="s">
        <v>58</v>
      </c>
      <c r="L11" t="str">
        <f t="shared" si="4"/>
        <v>10-Orte</v>
      </c>
      <c r="M11" s="9" t="s">
        <v>71</v>
      </c>
      <c r="O11" t="str">
        <f t="shared" si="2"/>
        <v>[10]</v>
      </c>
      <c r="P11" t="str">
        <f t="shared" si="5"/>
        <v>---
layout: post
session: 10
tags: [10]
level: overview
---</v>
      </c>
    </row>
    <row r="12" spans="1:16" ht="18" customHeight="1" x14ac:dyDescent="0.2">
      <c r="B12" s="3">
        <v>11</v>
      </c>
      <c r="C12" s="8">
        <v>45670</v>
      </c>
      <c r="D12" s="4" t="str">
        <f t="shared" si="0"/>
        <v>2025-01-13-11.md</v>
      </c>
      <c r="E12" s="4" t="s">
        <v>18</v>
      </c>
      <c r="F12" s="4" t="s">
        <v>30</v>
      </c>
      <c r="G12" t="s">
        <v>45</v>
      </c>
      <c r="I12" t="str">
        <f t="shared" si="3"/>
        <v>11. Materialität und Körper: Welche Wirkung hat die religiöse Praxis auf den Körper?</v>
      </c>
      <c r="J12" s="3">
        <f t="shared" si="1"/>
        <v>11</v>
      </c>
      <c r="K12" t="s">
        <v>64</v>
      </c>
      <c r="L12" t="str">
        <f t="shared" si="4"/>
        <v>11-Körper</v>
      </c>
      <c r="M12" s="9" t="s">
        <v>72</v>
      </c>
      <c r="O12" t="str">
        <f t="shared" si="2"/>
        <v>[11]</v>
      </c>
      <c r="P12" t="str">
        <f t="shared" si="5"/>
        <v>---
layout: post
session: 11
tags: [11]
level: overview
---</v>
      </c>
    </row>
    <row r="13" spans="1:16" ht="18" customHeight="1" x14ac:dyDescent="0.2">
      <c r="B13" s="3">
        <v>12</v>
      </c>
      <c r="C13" s="8">
        <v>45677</v>
      </c>
      <c r="D13" s="4" t="str">
        <f t="shared" si="0"/>
        <v>2025-01-20-12.md</v>
      </c>
      <c r="E13" s="4" t="s">
        <v>19</v>
      </c>
      <c r="F13" s="4" t="s">
        <v>31</v>
      </c>
      <c r="G13" t="s">
        <v>46</v>
      </c>
      <c r="I13" t="str">
        <f t="shared" si="3"/>
        <v>12. Religionswissenschaft für heute: Wie wird Religion digital untersucht?</v>
      </c>
      <c r="J13" s="3">
        <f t="shared" si="1"/>
        <v>12</v>
      </c>
      <c r="K13" t="s">
        <v>59</v>
      </c>
      <c r="L13" t="str">
        <f t="shared" si="4"/>
        <v>12-Digitalisierung</v>
      </c>
      <c r="M13" s="9" t="s">
        <v>73</v>
      </c>
      <c r="O13" t="str">
        <f t="shared" si="2"/>
        <v>[12]</v>
      </c>
      <c r="P13" t="str">
        <f t="shared" si="5"/>
        <v>---
layout: post
session: 12
tags: [12]
level: overview
---</v>
      </c>
    </row>
    <row r="14" spans="1:16" ht="18" customHeight="1" x14ac:dyDescent="0.2">
      <c r="B14" s="5">
        <v>13</v>
      </c>
      <c r="C14" s="8">
        <v>45684</v>
      </c>
      <c r="D14" s="4" t="str">
        <f t="shared" si="0"/>
        <v>2025-01-27-13.md</v>
      </c>
      <c r="E14" s="4" t="s">
        <v>19</v>
      </c>
      <c r="F14" s="4" t="s">
        <v>32</v>
      </c>
      <c r="G14" t="s">
        <v>47</v>
      </c>
      <c r="I14" t="str">
        <f t="shared" si="3"/>
        <v>13. Religionswissenschaft für heute: Wie sollte religiöser Extremismus verstanden werden?</v>
      </c>
      <c r="J14" s="3">
        <f t="shared" si="1"/>
        <v>13</v>
      </c>
      <c r="K14" t="s">
        <v>60</v>
      </c>
      <c r="L14" t="str">
        <f t="shared" si="4"/>
        <v>13-Extremismus</v>
      </c>
      <c r="M14" s="9" t="s">
        <v>74</v>
      </c>
      <c r="O14" t="str">
        <f t="shared" si="2"/>
        <v>[13]</v>
      </c>
      <c r="P14" t="str">
        <f t="shared" si="5"/>
        <v>---
layout: post
session: 13
tags: [13]
level: overview
---</v>
      </c>
    </row>
    <row r="15" spans="1:16" ht="16" x14ac:dyDescent="0.2">
      <c r="B15" s="5">
        <v>14</v>
      </c>
      <c r="C15" s="8">
        <v>45691</v>
      </c>
      <c r="D15" s="6" t="str">
        <f t="shared" si="0"/>
        <v>2025-02-03-14.md</v>
      </c>
      <c r="E15" s="4" t="s">
        <v>19</v>
      </c>
      <c r="F15" s="4" t="s">
        <v>33</v>
      </c>
      <c r="G15" t="s">
        <v>48</v>
      </c>
      <c r="I15" t="str">
        <f t="shared" si="3"/>
        <v>14. Religionswissenschaft für heute: Sollten Religionswissenschaftler/innen am interreligiösen Dialog mitwirken?</v>
      </c>
      <c r="J15" s="5">
        <f t="shared" si="1"/>
        <v>14</v>
      </c>
      <c r="K15" t="s">
        <v>61</v>
      </c>
      <c r="L15" t="str">
        <f t="shared" si="4"/>
        <v>14-Interreligiös</v>
      </c>
      <c r="M15" s="9" t="s">
        <v>75</v>
      </c>
      <c r="O15" t="str">
        <f t="shared" si="2"/>
        <v>[14]</v>
      </c>
      <c r="P15" t="str">
        <f t="shared" si="5"/>
        <v>---
layout: post
session: 14
tags: [14]
level: overview
---</v>
      </c>
    </row>
    <row r="16" spans="1:16" x14ac:dyDescent="0.2">
      <c r="B16" s="5">
        <v>15</v>
      </c>
      <c r="C16" s="8">
        <v>45698</v>
      </c>
      <c r="D16" s="6" t="str">
        <f t="shared" si="0"/>
        <v>2025-02-10-15.md</v>
      </c>
      <c r="E16" s="4" t="s">
        <v>19</v>
      </c>
      <c r="F16" s="4" t="s">
        <v>34</v>
      </c>
      <c r="G16" t="s">
        <v>49</v>
      </c>
      <c r="I16" t="str">
        <f t="shared" si="3"/>
        <v>15. Religionswissenschaft für heute: Wie gehe ich mit dem erworbenen Wissen um?</v>
      </c>
      <c r="J16" s="5">
        <f t="shared" si="1"/>
        <v>15</v>
      </c>
      <c r="K16" t="s">
        <v>62</v>
      </c>
      <c r="L16" t="str">
        <f t="shared" si="4"/>
        <v>15-Abschluss</v>
      </c>
      <c r="O16" t="str">
        <f t="shared" ref="O16" si="6">"["&amp;B16&amp;"]"</f>
        <v>[15]</v>
      </c>
      <c r="P16" t="str">
        <f t="shared" ref="P16" si="7">"---
layout: post
" &amp; B$1 &amp; ": " &amp; B16 &amp; "
" &amp; O$1 &amp; ": " &amp; O16 &amp; "
level: overview
---"</f>
        <v>---
layout: post
session: 15
tags: [15]
level: overview
---</v>
      </c>
    </row>
    <row r="17" spans="5:5" x14ac:dyDescent="0.2">
      <c r="E17" s="4"/>
    </row>
    <row r="18" spans="5:5" x14ac:dyDescent="0.2">
      <c r="E18" s="4"/>
    </row>
  </sheetData>
  <pageMargins left="0.7" right="0.7" top="0.75" bottom="0.75" header="0.3" footer="0.3"/>
  <pageSetup paperSize="9" scale="26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Nathan Gibson</cp:lastModifiedBy>
  <cp:lastPrinted>2024-04-18T12:58:24Z</cp:lastPrinted>
  <dcterms:created xsi:type="dcterms:W3CDTF">2023-10-09T09:26:31Z</dcterms:created>
  <dcterms:modified xsi:type="dcterms:W3CDTF">2024-11-11T13:25:55Z</dcterms:modified>
</cp:coreProperties>
</file>