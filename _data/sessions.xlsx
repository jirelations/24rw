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0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4rw/_data/"/>
    </mc:Choice>
  </mc:AlternateContent>
  <xr:revisionPtr revIDLastSave="0" documentId="13_ncr:1_{3A5B0D6D-216F-6147-8985-C4F98E7DBC1B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P4" i="1"/>
  <c r="Q4" i="1" s="1"/>
  <c r="P5" i="1"/>
  <c r="Q5" i="1" s="1"/>
  <c r="P6" i="1"/>
  <c r="Q6" i="1" s="1"/>
  <c r="P7" i="1"/>
  <c r="Q7" i="1" s="1"/>
  <c r="P8" i="1"/>
  <c r="P9" i="1"/>
  <c r="Q9" i="1" s="1"/>
  <c r="P10" i="1"/>
  <c r="P11" i="1"/>
  <c r="P12" i="1"/>
  <c r="Q12" i="1" s="1"/>
  <c r="P13" i="1"/>
  <c r="Q13" i="1" s="1"/>
  <c r="P14" i="1"/>
  <c r="Q14" i="1" s="1"/>
  <c r="P15" i="1"/>
  <c r="Q15" i="1" s="1"/>
  <c r="P16" i="1"/>
  <c r="Q16" i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Q8" i="1"/>
  <c r="Q10" i="1"/>
  <c r="Q11" i="1"/>
  <c r="Q3" i="1"/>
  <c r="Q2" i="1"/>
  <c r="D12" i="1"/>
  <c r="D10" i="1"/>
  <c r="D4" i="1"/>
  <c r="D11" i="1"/>
  <c r="D3" i="1"/>
  <c r="D9" i="1"/>
  <c r="D8" i="1"/>
  <c r="D15" i="1"/>
  <c r="D7" i="1"/>
  <c r="D14" i="1"/>
  <c r="D6" i="1"/>
  <c r="D13" i="1"/>
  <c r="D5" i="1"/>
  <c r="D2" i="1"/>
</calcChain>
</file>

<file path=xl/sharedStrings.xml><?xml version="1.0" encoding="utf-8"?>
<sst xmlns="http://schemas.openxmlformats.org/spreadsheetml/2006/main" count="99" uniqueCount="88">
  <si>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</si>
  <si>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</si>
  <si>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</si>
  <si>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</si>
  <si>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</si>
  <si>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</si>
  <si>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</si>
  <si>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</si>
  <si>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</si>
  <si>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</si>
  <si>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</si>
  <si>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</si>
  <si>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</si>
  <si>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</si>
  <si>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</si>
  <si>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</si>
  <si>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</si>
  <si>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</si>
  <si>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</si>
  <si>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</si>
  <si>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</si>
  <si>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</si>
  <si>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</si>
  <si>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</si>
  <si>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</si>
  <si>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</si>
  <si>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Kunst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</si>
  <si>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</si>
  <si>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</si>
  <si>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</si>
  <si>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</si>
  <si>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</si>
  <si>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</si>
  <si>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</si>
  <si>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</si>
  <si>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</si>
  <si>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</si>
  <si>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</si>
  <si>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</si>
  <si>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</si>
  <si>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</si>
  <si>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Kursbesuch: Kunst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</si>
  <si>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</si>
  <si>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</si>
  <si>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</si>
  <si>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</si>
  <si>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</si>
  <si>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</si>
  <si>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</si>
  <si>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</si>
  <si>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</si>
  <si>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</si>
  <si>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</si>
  <si>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</si>
  <si>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</si>
  <si>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</si>
  <si>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06_gegenseitiges.anerkennen.shahid.alam.png.webp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</si>
  <si>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</si>
  <si>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</si>
  <si>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</si>
  <si>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</si>
  <si>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</si>
  <si>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</si>
  <si>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</si>
  <si>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</si>
  <si>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</si>
  <si>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</si>
  <si>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rengerIII7MeisterJuengerUnd2012</t>
  </si>
  <si>
    <t>gemmekeMaraboutWomenDakar2009</t>
  </si>
  <si>
    <t>pelikanWrittenTorahTalmud2006</t>
  </si>
  <si>
    <t>prohlMaterialeReligion2012</t>
  </si>
  <si>
    <t>walker11Pilgrimage2018</t>
  </si>
  <si>
    <t>csordasIntroduction1994</t>
  </si>
  <si>
    <t>campbellContextualizingCurrentDigital2020</t>
  </si>
  <si>
    <t>riesebrodtFundamentalismusAlsPatriarchalische1990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</si>
  <si>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</si>
  <si>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</si>
  <si>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</si>
  <si>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Historische und gegenwärtige Beispiele der Gruppenbildung anhand eines differenzierten Konzepts von "Meister/Jüngerschaft" erläutern können.</t>
  </si>
  <si>
    <t>Ebenen der Genderforschung erläutern können, auf die die Religionswissenschaft grundlegend eingehen kann.</t>
  </si>
  <si>
    <t>schlieterReligionReligionswissenschaftUnd2012</t>
  </si>
  <si>
    <t>Erklären können, wie Normativitätsansprüche in der Religionswissenschaft untersucht werden können.</t>
  </si>
  <si>
    <t>Die mündliche und schriftliche Dynamik der abrahamitischen Religionen im Verhältnis zueinander zu beschreiben.</t>
  </si>
  <si>
    <t>Leitfrage</t>
  </si>
  <si>
    <t>Erklären können, wie die Forschung an materiellen Objekten den Glauben an das Transzendente greifbar macht.</t>
  </si>
  <si>
    <t>Erklären können, auf welche Weise Orte sakrale Bedeutung erlangen, und diese Bedeutung anhand jüdischer, christlicher und islamischer Beispiele erläutern.</t>
  </si>
  <si>
    <t>Was macht einen Ort für Pilger "heilig"?</t>
  </si>
  <si>
    <t>Die Gestaltung religiöser Kunst beobachten und beschreiben.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</si>
</sst>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6" fillId="0" borderId="1" xfId="0" applyNumberFormat="1" applyFont="1" applyBorder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164" fontId="7" fillId="0" borderId="1" xfId="0" applyNumberFormat="1" applyFont="1" applyBorder="1" applyAlignment="1">
      <alignment horizontal="left"/>
    </xf>
    <xf numFmtId="0" fontId="7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8"/>
  <sheetViews>
    <sheetView tabSelected="1" topLeftCell="J1" zoomScale="150" zoomScaleNormal="140" workbookViewId="0">
      <selection activeCell="N12" sqref="N12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83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45579</v>
      </c>
      <c r="D2" s="4" t="str">
        <f t="shared" ref="D2:D16" si="0">IF(LEN(C2),TEXT(C2, "YYYY-MM-DD") &amp; "-" &amp; B2 &amp; ".md",)</f>
        <v>2024-10-14-1.md</v>
      </c>
      <c r="E2" s="4" t="s">
        <v>16</v>
      </c>
      <c r="F2" s="4" t="s">
        <v>20</v>
      </c>
      <c r="G2" s="4" t="s">
        <v>35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50</v>
      </c>
      <c r="L2" t="str">
        <f>SUBSTITUTE(SUBSTITUTE(SUBSTITUTE(SUBSTITUTE(B2 &amp; ". " &amp; F2,".",""),"&amp;","")," ","-"),"--","-")</f>
        <v>1-Vorstellung</v>
      </c>
      <c r="P2" t="str">
        <f t="shared" ref="P2:P15" si="2">"["&amp;B2&amp;"]"</f>
        <v>[1]</v>
      </c>
      <c r="Q2" t="str">
        <f t="shared" ref="Q2:Q16" si="3">"---
layout: post
" &amp; B$1 &amp; ": " &amp; B2 &amp; "
" &amp; P$1 &amp; ": " &amp; P2 &amp; "
level: overview
---"</f>
        <v>---
layout: post
session: 1
tags: [1]
level: overview
---</v>
      </c>
    </row>
    <row r="3" spans="1:17" ht="18" customHeight="1" x14ac:dyDescent="0.2">
      <c r="B3" s="3">
        <v>2</v>
      </c>
      <c r="C3" s="8">
        <v>45586</v>
      </c>
      <c r="D3" s="4" t="str">
        <f t="shared" si="0"/>
        <v>2024-10-21-2.md</v>
      </c>
      <c r="E3" s="4" t="s">
        <v>16</v>
      </c>
      <c r="F3" s="4" t="s">
        <v>21</v>
      </c>
      <c r="G3" t="s">
        <v>36</v>
      </c>
      <c r="I3" t="str">
        <f t="shared" ref="I3:I16" si="4">B3 &amp; ". " &amp; E3 &amp; ": " &amp; G3</f>
        <v>2. Religion als Gegenstand: Was ist Religion?</v>
      </c>
      <c r="J3" s="3">
        <f t="shared" si="1"/>
        <v>2</v>
      </c>
      <c r="K3" t="s">
        <v>51</v>
      </c>
      <c r="L3" t="str">
        <f t="shared" ref="L3:L16" si="5">SUBSTITUTE(SUBSTITUTE(SUBSTITUTE(SUBSTITUTE(B3 &amp; ". " &amp; F3,".",""),"&amp;","")," ","-"),"--","-")</f>
        <v>2-Definitionen</v>
      </c>
      <c r="M3" s="10" t="s">
        <v>63</v>
      </c>
      <c r="N3" t="s">
        <v>76</v>
      </c>
      <c r="P3" t="str">
        <f t="shared" si="2"/>
        <v>[2]</v>
      </c>
      <c r="Q3" t="str">
        <f t="shared" si="3"/>
        <v>---
layout: post
session: 2
tags: [2]
level: overview
---</v>
      </c>
    </row>
    <row r="4" spans="1:17" ht="18" customHeight="1" x14ac:dyDescent="0.2">
      <c r="B4" s="3">
        <v>3</v>
      </c>
      <c r="C4" s="8">
        <v>45593</v>
      </c>
      <c r="D4" s="4" t="str">
        <f t="shared" si="0"/>
        <v>2024-10-28-3.md</v>
      </c>
      <c r="E4" s="4" t="s">
        <v>16</v>
      </c>
      <c r="F4" s="4" t="s">
        <v>22</v>
      </c>
      <c r="G4" t="s">
        <v>37</v>
      </c>
      <c r="I4" t="str">
        <f t="shared" si="4"/>
        <v>3. Religion als Gegenstand: Was gilt als religiöses Ritual?</v>
      </c>
      <c r="J4" s="3">
        <f t="shared" si="1"/>
        <v>3</v>
      </c>
      <c r="K4" t="s">
        <v>52</v>
      </c>
      <c r="L4" t="str">
        <f t="shared" si="5"/>
        <v>3-Ritual</v>
      </c>
      <c r="M4" s="11" t="s">
        <v>66</v>
      </c>
      <c r="N4" t="s">
        <v>77</v>
      </c>
      <c r="P4" t="str">
        <f t="shared" si="2"/>
        <v>[3]</v>
      </c>
      <c r="Q4" t="str">
        <f t="shared" si="3"/>
        <v>---
layout: post
session: 3
tags: [3]
level: overview
---</v>
      </c>
    </row>
    <row r="5" spans="1:17" ht="18" customHeight="1" x14ac:dyDescent="0.2">
      <c r="B5" s="3">
        <v>4</v>
      </c>
      <c r="C5" s="8">
        <v>45600</v>
      </c>
      <c r="D5" s="4" t="str">
        <f t="shared" si="0"/>
        <v>2024-11-04-4.md</v>
      </c>
      <c r="E5" s="4" t="s">
        <v>17</v>
      </c>
      <c r="F5" s="4" t="s">
        <v>23</v>
      </c>
      <c r="G5" t="s">
        <v>38</v>
      </c>
      <c r="I5" t="str">
        <f t="shared" si="4"/>
        <v>4. Gruppen und Autorität: Wie bilden sich religiöse Gruppen und Autoritäten?</v>
      </c>
      <c r="J5" s="3">
        <f t="shared" si="1"/>
        <v>4</v>
      </c>
      <c r="K5" t="s">
        <v>53</v>
      </c>
      <c r="L5" t="str">
        <f t="shared" si="5"/>
        <v>4-Gruppen</v>
      </c>
      <c r="M5" s="9" t="s">
        <v>67</v>
      </c>
      <c r="N5" t="s">
        <v>78</v>
      </c>
      <c r="P5" t="str">
        <f t="shared" si="2"/>
        <v>[4]</v>
      </c>
      <c r="Q5" t="str">
        <f t="shared" si="3"/>
        <v>---
layout: post
session: 4
tags: [4]
level: overview
---</v>
      </c>
    </row>
    <row r="6" spans="1:17" ht="18" customHeight="1" x14ac:dyDescent="0.2">
      <c r="B6" s="3">
        <v>5</v>
      </c>
      <c r="C6" s="8">
        <v>45607</v>
      </c>
      <c r="D6" s="4" t="str">
        <f t="shared" si="0"/>
        <v>2024-11-11-5.md</v>
      </c>
      <c r="E6" s="4" t="s">
        <v>17</v>
      </c>
      <c r="F6" s="4" t="s">
        <v>24</v>
      </c>
      <c r="G6" t="s">
        <v>39</v>
      </c>
      <c r="I6" t="str">
        <f t="shared" si="4"/>
        <v>5. Gruppen und Autorität: Welche Rolle spielt Gender in der Religion?</v>
      </c>
      <c r="J6" s="3">
        <f t="shared" si="1"/>
        <v>5</v>
      </c>
      <c r="K6" t="s">
        <v>54</v>
      </c>
      <c r="L6" t="str">
        <f t="shared" si="5"/>
        <v>5-Gender</v>
      </c>
      <c r="M6" s="9" t="s">
        <v>68</v>
      </c>
      <c r="N6" t="s">
        <v>79</v>
      </c>
      <c r="P6" t="str">
        <f t="shared" si="2"/>
        <v>[5]</v>
      </c>
      <c r="Q6" t="str">
        <f t="shared" si="3"/>
        <v>---
layout: post
session: 5
tags: [5]
level: overview
---</v>
      </c>
    </row>
    <row r="7" spans="1:17" ht="18" customHeight="1" x14ac:dyDescent="0.2">
      <c r="B7" s="3">
        <v>6</v>
      </c>
      <c r="C7" s="8">
        <v>45614</v>
      </c>
      <c r="D7" s="4" t="str">
        <f t="shared" si="0"/>
        <v>2024-11-18-6.md</v>
      </c>
      <c r="E7" s="4" t="s">
        <v>17</v>
      </c>
      <c r="F7" s="4" t="s">
        <v>25</v>
      </c>
      <c r="G7" t="s">
        <v>40</v>
      </c>
      <c r="I7" t="str">
        <f t="shared" si="4"/>
        <v>6. Gruppen und Autorität: Wer oder was bestimmt die Orthodoxie?</v>
      </c>
      <c r="J7" s="3">
        <f t="shared" si="1"/>
        <v>6</v>
      </c>
      <c r="K7" t="s">
        <v>55</v>
      </c>
      <c r="L7" t="str">
        <f t="shared" si="5"/>
        <v>6-Orthodoxie</v>
      </c>
      <c r="M7" s="12" t="s">
        <v>80</v>
      </c>
      <c r="N7" t="s">
        <v>81</v>
      </c>
      <c r="P7" t="str">
        <f t="shared" si="2"/>
        <v>[6]</v>
      </c>
      <c r="Q7" t="str">
        <f t="shared" si="3"/>
        <v>---
layout: post
session: 6
tags: [6]
level: overview
---</v>
      </c>
    </row>
    <row r="8" spans="1:17" ht="18" customHeight="1" x14ac:dyDescent="0.2">
      <c r="B8" s="3">
        <v>7</v>
      </c>
      <c r="C8" s="8">
        <v>45621</v>
      </c>
      <c r="D8" s="4" t="str">
        <f t="shared" si="0"/>
        <v>2024-11-25-7.md</v>
      </c>
      <c r="E8" s="4" t="s">
        <v>18</v>
      </c>
      <c r="F8" s="4" t="s">
        <v>27</v>
      </c>
      <c r="G8" t="s">
        <v>42</v>
      </c>
      <c r="I8" t="str">
        <f t="shared" si="4"/>
        <v>7. Materialität und Körper: Wie werden heilige Schriften überliefert?</v>
      </c>
      <c r="J8" s="3">
        <f t="shared" si="1"/>
        <v>7</v>
      </c>
      <c r="K8" t="s">
        <v>57</v>
      </c>
      <c r="L8" t="str">
        <f t="shared" si="5"/>
        <v>7-Schriften</v>
      </c>
      <c r="M8" s="9" t="s">
        <v>69</v>
      </c>
      <c r="N8" t="s">
        <v>82</v>
      </c>
      <c r="P8" t="str">
        <f t="shared" si="2"/>
        <v>[7]</v>
      </c>
      <c r="Q8" t="str">
        <f t="shared" si="3"/>
        <v>---
layout: post
session: 7
tags: [7]
level: overview
---</v>
      </c>
    </row>
    <row r="9" spans="1:17" ht="18" customHeight="1" x14ac:dyDescent="0.2">
      <c r="B9" s="3">
        <v>8</v>
      </c>
      <c r="C9" s="8">
        <v>45628</v>
      </c>
      <c r="D9" s="4" t="str">
        <f t="shared" si="0"/>
        <v>2024-12-02-8.md</v>
      </c>
      <c r="E9" s="4" t="s">
        <v>18</v>
      </c>
      <c r="F9" s="4" t="s">
        <v>28</v>
      </c>
      <c r="G9" t="s">
        <v>43</v>
      </c>
      <c r="I9" t="str">
        <f t="shared" si="4"/>
        <v>8. Materialität und Körper: Welche Rolle spielen materielle Objekte in der Religion?</v>
      </c>
      <c r="J9" s="3">
        <f t="shared" si="1"/>
        <v>8</v>
      </c>
      <c r="K9" t="s">
        <v>65</v>
      </c>
      <c r="L9" t="str">
        <f t="shared" si="5"/>
        <v>8-Objekte</v>
      </c>
      <c r="M9" s="9" t="s">
        <v>70</v>
      </c>
      <c r="N9" t="s">
        <v>84</v>
      </c>
      <c r="P9" t="str">
        <f t="shared" si="2"/>
        <v>[8]</v>
      </c>
      <c r="Q9" t="str">
        <f t="shared" si="3"/>
        <v>---
layout: post
session: 8
tags: [8]
level: overview
---</v>
      </c>
    </row>
    <row r="10" spans="1:17" ht="18" customHeight="1" x14ac:dyDescent="0.2">
      <c r="B10" s="3">
        <v>9</v>
      </c>
      <c r="C10" s="8">
        <v>45635</v>
      </c>
      <c r="D10" s="4" t="str">
        <f t="shared" si="0"/>
        <v>2024-12-09-9.md</v>
      </c>
      <c r="E10" s="4" t="s">
        <v>18</v>
      </c>
      <c r="F10" s="4" t="s">
        <v>29</v>
      </c>
      <c r="G10" t="s">
        <v>44</v>
      </c>
      <c r="I10" t="str">
        <f t="shared" si="4"/>
        <v>9. Materialität und Körper: Welche Rolle spielen heilige Orte in der Religion?</v>
      </c>
      <c r="J10" s="3">
        <f t="shared" si="1"/>
        <v>9</v>
      </c>
      <c r="K10" t="s">
        <v>58</v>
      </c>
      <c r="L10" t="str">
        <f t="shared" si="5"/>
        <v>9-Orte</v>
      </c>
      <c r="M10" s="9" t="s">
        <v>71</v>
      </c>
      <c r="N10" t="s">
        <v>85</v>
      </c>
      <c r="O10" t="s">
        <v>86</v>
      </c>
      <c r="P10" t="str">
        <f t="shared" si="2"/>
        <v>[9]</v>
      </c>
      <c r="Q10" t="str">
        <f t="shared" si="3"/>
        <v>---
layout: post
session: 9
tags: [9]
level: overview
---</v>
      </c>
    </row>
    <row r="11" spans="1:17" ht="18" customHeight="1" x14ac:dyDescent="0.2">
      <c r="B11" s="3">
        <v>10</v>
      </c>
      <c r="C11" s="8">
        <v>45642</v>
      </c>
      <c r="D11" s="4" t="str">
        <f t="shared" si="0"/>
        <v>2024-12-16-10.md</v>
      </c>
      <c r="E11" s="4" t="s">
        <v>18</v>
      </c>
      <c r="F11" s="13" t="s">
        <v>26</v>
      </c>
      <c r="G11" s="14" t="s">
        <v>41</v>
      </c>
      <c r="I11" t="str">
        <f t="shared" si="4"/>
        <v>10. Materialität und Körper: Kursbesuch: Kunst</v>
      </c>
      <c r="J11" s="3">
        <f t="shared" si="1"/>
        <v>10</v>
      </c>
      <c r="K11" s="14" t="s">
        <v>56</v>
      </c>
      <c r="L11" t="str">
        <f t="shared" si="5"/>
        <v>10-Kunst</v>
      </c>
      <c r="M11" s="9"/>
      <c r="N11" t="s">
        <v>87</v>
      </c>
      <c r="P11" t="str">
        <f t="shared" si="2"/>
        <v>[10]</v>
      </c>
      <c r="Q11" t="str">
        <f t="shared" si="3"/>
        <v>---
layout: post
session: 10
tags: [10]
level: overview
---</v>
      </c>
    </row>
    <row r="12" spans="1:17" ht="18" customHeight="1" x14ac:dyDescent="0.2">
      <c r="B12" s="3">
        <v>11</v>
      </c>
      <c r="C12" s="8">
        <v>45670</v>
      </c>
      <c r="D12" s="4" t="str">
        <f t="shared" si="0"/>
        <v>2025-01-13-11.md</v>
      </c>
      <c r="E12" s="4" t="s">
        <v>18</v>
      </c>
      <c r="F12" s="4" t="s">
        <v>30</v>
      </c>
      <c r="G12" t="s">
        <v>45</v>
      </c>
      <c r="I12" t="str">
        <f t="shared" si="4"/>
        <v>11. Materialität und Körper: Welche Wirkung hat die religiöse Praxis auf den Körper?</v>
      </c>
      <c r="J12" s="3">
        <f t="shared" si="1"/>
        <v>11</v>
      </c>
      <c r="K12" t="s">
        <v>64</v>
      </c>
      <c r="L12" t="str">
        <f t="shared" si="5"/>
        <v>11-Körper</v>
      </c>
      <c r="M12" s="9" t="s">
        <v>72</v>
      </c>
      <c r="P12" t="str">
        <f t="shared" si="2"/>
        <v>[11]</v>
      </c>
      <c r="Q12" t="str">
        <f t="shared" si="3"/>
        <v>---
layout: post
session: 11
tags: [11]
level: overview
---</v>
      </c>
    </row>
    <row r="13" spans="1:17" ht="18" customHeight="1" x14ac:dyDescent="0.2">
      <c r="B13" s="3">
        <v>12</v>
      </c>
      <c r="C13" s="8">
        <v>45677</v>
      </c>
      <c r="D13" s="4" t="str">
        <f t="shared" si="0"/>
        <v>2025-01-20-12.md</v>
      </c>
      <c r="E13" s="4" t="s">
        <v>19</v>
      </c>
      <c r="F13" s="4" t="s">
        <v>31</v>
      </c>
      <c r="G13" t="s">
        <v>46</v>
      </c>
      <c r="I13" t="str">
        <f t="shared" si="4"/>
        <v>12. Religionswissenschaft für heute: Wie wird Religion digital untersucht?</v>
      </c>
      <c r="J13" s="3">
        <f t="shared" si="1"/>
        <v>12</v>
      </c>
      <c r="K13" t="s">
        <v>59</v>
      </c>
      <c r="L13" t="str">
        <f t="shared" si="5"/>
        <v>12-Digitalisierung</v>
      </c>
      <c r="M13" s="9" t="s">
        <v>73</v>
      </c>
      <c r="P13" t="str">
        <f t="shared" si="2"/>
        <v>[12]</v>
      </c>
      <c r="Q13" t="str">
        <f t="shared" si="3"/>
        <v>---
layout: post
session: 12
tags: [12]
level: overview
---</v>
      </c>
    </row>
    <row r="14" spans="1:17" ht="18" customHeight="1" x14ac:dyDescent="0.2">
      <c r="B14" s="5">
        <v>13</v>
      </c>
      <c r="C14" s="8">
        <v>45684</v>
      </c>
      <c r="D14" s="4" t="str">
        <f t="shared" si="0"/>
        <v>2025-01-27-13.md</v>
      </c>
      <c r="E14" s="4" t="s">
        <v>19</v>
      </c>
      <c r="F14" s="4" t="s">
        <v>32</v>
      </c>
      <c r="G14" t="s">
        <v>47</v>
      </c>
      <c r="I14" t="str">
        <f t="shared" si="4"/>
        <v>13. Religionswissenschaft für heute: Wie sollte religiöser Extremismus verstanden werden?</v>
      </c>
      <c r="J14" s="3">
        <f t="shared" si="1"/>
        <v>13</v>
      </c>
      <c r="K14" t="s">
        <v>60</v>
      </c>
      <c r="L14" t="str">
        <f t="shared" si="5"/>
        <v>13-Extremismus</v>
      </c>
      <c r="M14" s="9" t="s">
        <v>74</v>
      </c>
      <c r="P14" t="str">
        <f t="shared" si="2"/>
        <v>[13]</v>
      </c>
      <c r="Q14" t="str">
        <f t="shared" si="3"/>
        <v>---
layout: post
session: 13
tags: [13]
level: overview
---</v>
      </c>
    </row>
    <row r="15" spans="1:17" ht="16" x14ac:dyDescent="0.2">
      <c r="B15" s="5">
        <v>14</v>
      </c>
      <c r="C15" s="8">
        <v>45691</v>
      </c>
      <c r="D15" s="6" t="str">
        <f t="shared" si="0"/>
        <v>2025-02-03-14.md</v>
      </c>
      <c r="E15" s="4" t="s">
        <v>19</v>
      </c>
      <c r="F15" s="4" t="s">
        <v>33</v>
      </c>
      <c r="G15" t="s">
        <v>48</v>
      </c>
      <c r="I15" t="str">
        <f t="shared" si="4"/>
        <v>14. Religionswissenschaft für heute: Sollten Religionswissenschaftler/innen am interreligiösen Dialog mitwirken?</v>
      </c>
      <c r="J15" s="5">
        <f t="shared" si="1"/>
        <v>14</v>
      </c>
      <c r="K15" t="s">
        <v>61</v>
      </c>
      <c r="L15" t="str">
        <f t="shared" si="5"/>
        <v>14-Interreligiös</v>
      </c>
      <c r="M15" s="9" t="s">
        <v>75</v>
      </c>
      <c r="P15" t="str">
        <f t="shared" si="2"/>
        <v>[14]</v>
      </c>
      <c r="Q15" t="str">
        <f t="shared" si="3"/>
        <v>---
layout: post
session: 14
tags: [14]
level: overview
---</v>
      </c>
    </row>
    <row r="16" spans="1:17" x14ac:dyDescent="0.2">
      <c r="B16" s="5">
        <v>15</v>
      </c>
      <c r="C16" s="8">
        <v>45698</v>
      </c>
      <c r="D16" s="6" t="str">
        <f t="shared" si="0"/>
        <v>2025-02-10-15.md</v>
      </c>
      <c r="E16" s="4" t="s">
        <v>19</v>
      </c>
      <c r="F16" s="4" t="s">
        <v>34</v>
      </c>
      <c r="G16" t="s">
        <v>49</v>
      </c>
      <c r="I16" t="str">
        <f t="shared" si="4"/>
        <v>15. Religionswissenschaft für heute: Wie gehe ich mit dem erworbenen Wissen um?</v>
      </c>
      <c r="J16" s="5">
        <f t="shared" si="1"/>
        <v>15</v>
      </c>
      <c r="K16" t="s">
        <v>62</v>
      </c>
      <c r="L16" t="str">
        <f t="shared" si="5"/>
        <v>15-Abschluss</v>
      </c>
      <c r="P16" t="str">
        <f t="shared" ref="P16" si="6">"["&amp;B16&amp;"]"</f>
        <v>[15]</v>
      </c>
      <c r="Q16" t="str">
        <f t="shared" si="3"/>
        <v>---
layout: post
session: 15
tags: [15]
level: overview
---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2024-12-09T10:48:46Z</dcterms:modified>
</cp:coreProperties>
</file>